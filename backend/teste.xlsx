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327" documentId="11_92485C45C1F39E42E268565A893E8C18510380CC" xr6:coauthVersionLast="47" xr6:coauthVersionMax="47" xr10:uidLastSave="{89348758-1053-445C-BCD0-BC46A3C043FF}"/>
  <bookViews>
    <workbookView xWindow="240" yWindow="105" windowWidth="14805" windowHeight="8010" firstSheet="1" activeTab="1" xr2:uid="{00000000-000D-0000-FFFF-FFFF00000000}"/>
  </bookViews>
  <sheets>
    <sheet name="Planilha1" sheetId="1" r:id="rId1"/>
    <sheet name="medi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 i="2" l="1"/>
  <c r="F3" i="2"/>
  <c r="E4" i="2"/>
  <c r="D4" i="2"/>
  <c r="C4" i="2"/>
  <c r="B4" i="2"/>
  <c r="E3" i="2"/>
  <c r="E2" i="2"/>
  <c r="D3" i="2"/>
  <c r="D2" i="2"/>
  <c r="C3" i="2"/>
  <c r="B3" i="2"/>
  <c r="B2" i="2"/>
  <c r="F2" i="2"/>
  <c r="C2" i="2"/>
</calcChain>
</file>

<file path=xl/sharedStrings.xml><?xml version="1.0" encoding="utf-8"?>
<sst xmlns="http://schemas.openxmlformats.org/spreadsheetml/2006/main" count="137" uniqueCount="86">
  <si>
    <t>Identificador Único</t>
  </si>
  <si>
    <t>Data</t>
  </si>
  <si>
    <t>Conversação</t>
  </si>
  <si>
    <t>Canal</t>
  </si>
  <si>
    <t>Contemplado</t>
  </si>
  <si>
    <t>Beneficiário</t>
  </si>
  <si>
    <t>Número</t>
  </si>
  <si>
    <t>Saudação(0-10)</t>
  </si>
  <si>
    <t>Clareza (0-10)</t>
  </si>
  <si>
    <t>Conhecimento (0-10)</t>
  </si>
  <si>
    <t>Resolução (0-10)</t>
  </si>
  <si>
    <t>Empatia (0-10)</t>
  </si>
  <si>
    <t>Score Qualidade</t>
  </si>
  <si>
    <t>Risco Processo</t>
  </si>
  <si>
    <t>Resolvido?</t>
  </si>
  <si>
    <t>Reincidência?</t>
  </si>
  <si>
    <t>Observações</t>
  </si>
  <si>
    <t>Ação Gerencial</t>
  </si>
  <si>
    <t>=MÉDIASE('Planilha1'!H:H;'Planilha1'!E:E; ""</t>
  </si>
  <si>
    <t>{"Contato":{"nome":"BERNARDO CHAVES VIANA BEZERRA","numero":"+5521979200697"},"conversa":[{"texto":"Boa tarde me chamo Barbara ","remetente":"Barbara Aparecyda"},{"texto":"Barbara atribuiu a si mesmo essa conversa"},{"texto":"https://cielolink.com.br/4fQETfp","remetente":"Barbara Aparecyda"},{"texto":"segue o link para pagamento no cartão ","remetente":"Barbara Aparecyda"},{"texto":"Bernardo Chaves Viana Bezerra","remetente":"BERNARDO CHAVES VIANA BEZERRA"}]}</t>
  </si>
  <si>
    <t>Chatwoot</t>
  </si>
  <si>
    <t>Barbara Aparecyda</t>
  </si>
  <si>
    <t>BERNARDO CHAVES VIANA BEZERRA</t>
  </si>
  <si>
    <t>Nenhum risco</t>
  </si>
  <si>
    <t>Sim</t>
  </si>
  <si>
    <t>Não identificado</t>
  </si>
  <si>
    <t>Atendente foi eficiente e claro ao fornecer o link de pagamento. A saudação foi cordial e completa. A comunicação foi objetiva e resolveu a demanda de forma direta.</t>
  </si>
  <si>
    <t>Nenhum risco aparente. Reforçar a importância de uma linguagem humanizada e consultiva, mesmo em interações rápidas.</t>
  </si>
  <si>
    <t>2026-08-06T00:00:00.000-03:00</t>
  </si>
  <si>
    <t>{"Contato":{"nome":"SISSI MACHADO DE OLIVEIRA","numero":"+555183000907"},"conversa":[{"texto":"Prezado (a), boa tarde, me chamo Valdeilson, agente do setor de cobrança da sua administradora de benefício.\r\n\r\nNão identificamos o pagamento do seu plano de assistência médica e/ou odontológica, teria alguma previsão para o pagamento?\r\n\r\nCaso já tenha efetuado o pagamento, por gentileza nos encaminhar o comprovante para agilizar a baixa.\r\n\r\nSe for necessário a 2º via do boleto solicite por este canal.","remetente":"Valdeilson Neves"},{"texto":"Valdeilson Neves atribuiu a si mesmo essa conversa"},{"texto":"Prezado (a), boa tarde, me chamo Valdeilson.\n\nVerifiquei que o boleto referente a mensalidade do seu plano de saúde ainda consta em aberto. Gostaria de realizar o pagamento hoje via Pix?\n\nRessaltamos que constam dois boletos em atraso e está se aproximando a data de corte da sua operadora, caso o boleto mais atrasado não seja quitado antes da  data de corte, o plano será cancelado por inadimplência, conforme previsto em seu contrato de adesão.\n\nTeria algum posicionamento?\n\n\n","remetente":"Valdeilson Neves"}]}</t>
  </si>
  <si>
    <t>Valdeilson Neves</t>
  </si>
  <si>
    <t>SISSI MACHADO DE OLIVEIRA</t>
  </si>
  <si>
    <t>Não</t>
  </si>
  <si>
    <t>O atendente Valdeilson foi proativo em contatar o cliente sobre o débito. Apresentou as informações de forma clara, oferecendo opções de pagamento e alertando sobre as consequências do não pagamento, como o cancelamento do plano. A comunicação é educada e profissional, visando a regularização da situação.</t>
  </si>
  <si>
    <t>Manter o padrão de abordagem proativa na cobrança, focando na clareza das informações e nas opções de regularização para o cliente.</t>
  </si>
  <si>
    <t>{"Contato":{"nome":"Bruno 2","numero":"+5521972811765"},"conversa":[{"texto":"12","remetente":"Jessica Freitas"},{"texto":"Jessica Freitas atribuiu a si mesmo essa conversa"},{"texto":"🚨 The message could not be sent. Please check your connection. _Error: Connection Closed_","remetente":"TI"},{"texto":"oi","remetente":"Jessica Freitas"},{"texto":"tudo bem?","remetente":"Jessica Freitas"},{"texto":"🚨 The message could not be sent. Please check your connection. _Error: Connection Closed_","remetente":"TI"},{"texto":"l","remetente":"Jessica Freitas"},{"texto":"🚨 The message could not be sent. Please check your connection. _Error: Connection Closed_","remetente":"TI"},{"texto":"Conversa foi marcada como resolvida por Jessica Freitas"},{"texto":null,"remetente":"Bruno 2"},{"texto":"O sistema reabriu a conversa devido a uma nova mensagem recebida."},{"texto":null,"remetente":"Bruno 2"},{"texto":"oi","remetente":"TI"},{"texto":"Conversa foi marcada como resolvida por Jessica Freitas"}]}</t>
  </si>
  <si>
    <t>Jessica Freitas</t>
  </si>
  <si>
    <t>Bruno 2</t>
  </si>
  <si>
    <t>Falha de procedimento</t>
  </si>
  <si>
    <t>A conversa foi marcada por múltiplos erros de conexão, impedindo qualquer comunicação efetiva. A atendente tentou uma saudação, mas as mensagens não foram entregues. Posteriormente, a conversa foi marcada como resolvida duas vezes pela atendente sem que houvesse interação com o cliente ou identificação de uma demanda, caracterizando uma falha de procedimento grave.</t>
  </si>
  <si>
    <t>Investigar e corrigir os problemas de conexão do sistema. Reforçar o treinamento com a equipe sobre os procedimentos corretos para marcar uma conversa como resolvida, exigindo interação e resolução de uma demanda explícita do cliente, e não apenas pelo tempo ou falha de comunicação.</t>
  </si>
  <si>
    <t>2026-08-09T00:00:00.000-03:00</t>
  </si>
  <si>
    <t>{"Contato":{"nome":"LUCIANA BARBOSA","numero":"+555186175915"},"conversa":[{"texto":"\r\nPrezada LUCIANA BARBOSA, boa tarde. \r\n\r\nAqui é Barbara, da administradora do seu plano \r\n\r\nIdentificamos uma fatura em aberto há alguns dias. Após 11 dias de atraso, o sistema pode realizar a interrupção temporária do serviço de forma automática. \r\n\r\nSe desejar, posso te ajudar a verificar as opções para regularizar e manter tudo ativo. ","remetente":"Barbara Aparecyda"},{"texto":"Barbara atribuiu a si mesmo essa conversa"},{"texto":"O valor de 38 e o de 57 reais ja foram pagos..  os valores de 190 reais que foi do mês que aguardei a operadora ne dar resposta que voltaria a meu plano anterior..  meu advogado havia pedido que cancelassem esse valor devido a abertura de processo por danos morais pelo erro do seu funcionário. Ele cometeu um erro e avisei que nao ia pagar pelo erro dele e colocaria a operadora na justiça por falta de declaração claras na hora do contrato do plano se continuarem me cobrando esse valor meu advogado estará apostos a abrir o processo contra danos morais.. vcs ja retornaram para meu pano original e esse ja esta pago","remetente":"LUCIANA BARBOSA"},{"texto":"Estão pagos","remetente":"LUCIANA BARBOSA"},{"texto":null,"remetente":"LUCIANA BARBOSA"},{"texto":"?","remetente":"LUCIANA BARBOSA"},{"texto":"Já foi pago","remetente":"LUCIANA BARBOSA"},{"texto":"Esta mensagem foi excluída","remetente":"LUCIANA BARBOSA"}]}</t>
  </si>
  <si>
    <t>LUCIANA BARBOSA</t>
  </si>
  <si>
    <t>Atendente iniciou o contato para cobrança de fatura, mas não respondeu às informações detalhadas e reclamações da cliente sobre pagamentos já efetuados, erro de funcionário, disputa de valor de R$190, e abertura de processo por danos morais. A conversa foi encerrada sem qualquer resolução ou encaminhamento.</t>
  </si>
  <si>
    <t>Necessário verificar o histórico da cliente LUCIANA BARBOSA, em especial sobre a disputa do valor de R$190, o retorno ao plano anterior e a menção de processo judicial. Treinar a atendente Barbara Aparecyda para não deixar o cliente sem resposta após apresentar questões complexas, garantindo que o atendimento seja concluído com uma resolução ou um encaminhamento claro.</t>
  </si>
  <si>
    <t>2026-08-11T00:00:00.000-03:00</t>
  </si>
  <si>
    <t>{"Contato":{"nome":"MIGUEL PINTO GABRIEL","numero":"+5522996151639"},"conversa":[{"texto":"Boa tarde! MIGUEL PINTO GABRIEL Aqui é a Barbara da administradora de benefícios. \r\n\r\nAo verificar o sistema, identificamos que a mensalidade referente à competência de Fevereiro ainda não foi localizada. \r\n\r\nSe desejar, posso enviar o boleto atualizado ou disponibilizar um link para pagamento com cartão. \r\n\r\nCaso já tenha realizado o pagamento, basta enviar o comprovante para atualizarmos. Fico à disposição para ajudar no que precisar. ","remetente":"Barbara Aparecyda"},{"texto":"Barbara atribuiu a si mesmo essa conversa"},{"texto":"Bom dia! Meu nome é Bárbara, sou agente de cobrança. 😊\n\nIdentificamos que seu plano vence hoje e que há dois boletos em aberto. Gostaria de saber se deseja receber o boleto atualizado para pagamento ainda hoje.\n\nVocê possui alguma previsão de pagamento?","remetente":"Barbara Aparecyda"},{"texto":"Oi boa tarde","remetente":"MIGUEL PINTO GABRIEL"},{"texto":"Tive um imprevisto aí vou conseguir pagar os 2 sexta feira","remetente":"MIGUEL PINTO GABRIEL"},{"texto":"se puderem mandar","remetente":"MIGUEL PINTO GABRIEL"},{"texto":null,"remetente":"Barbara Aparecyda"},{"texto":null,"remetente":"Barbara Aparecyda"}]}</t>
  </si>
  <si>
    <t>MIGUEL PINTO GABRIEL</t>
  </si>
  <si>
    <t>A atendente iniciou a conversa de forma cordial, clara e demonstrou conhecimento sobre a situação do cliente, apresentando as opções de pagamento. Contudo, ao final da interação, o cliente solicitou o envio dos boletos e a atendente não deu seguimento à solicitação, resultando em falha na resolução da demanda e ausência de resposta para o cliente. As últimas mensagens da atendente são nulas, indicando uma interrupção no atendimento sem a devida finalização.</t>
  </si>
  <si>
    <t>Reforçar treinamento sobre a importância de finalizar as solicitações dos clientes e garantir que todas as etapas sejam cumpridas, incluindo o envio de documentos solicitados. Monitorar a finalização dos atendimentos para evitar interrupções sem resolução.</t>
  </si>
  <si>
    <t>{"Contato":{"nome":"NADIA SALAH TRINIDAD BAJA filho","numero":"+555196215410"},"conversa":[{"texto":"A sua mãe Nadia que me passou seu contato.","remetente":"Jessica Freitas"},{"texto":"Olá bom dia!","remetente":"NADIA SALAH TRINIDAD BAJA filho"},{"texto":"Sim ela comentou","remetente":"NADIA SALAH TRINIDAD BAJA filho"},{"texto":"Pode ser pelas tarde ?","remetente":"NADIA SALAH TRINIDAD BAJA filho"},{"texto":"13 horas","remetente":"NADIA SALAH TRINIDAD BAJA filho"},{"texto":"Pode sim. ","remetente":"Jessica Freitas"},{"texto":"Entrarei em contato às 13 horas.","remetente":"Jessica Freitas"},{"texto":"Ok","remetente":"NADIA SALAH TRINIDAD BAJA filho"},{"texto":"Olá boa tarde posso ligar agora ??","remetente":"Jessica Freitas"},{"texto":"Sim","remetente":"NADIA SALAH TRINIDAD BAJA filho"},{"texto":"Ta bom","remetente":"Jessica Freitas"},{"texto":"Bom dia Sr. Amir. ","remetente":"Jessica Freitas"},{"texto":"Bom dia","remetente":"NADIA SALAH TRINIDAD BAJA filho"},{"texto":"O novo token quem deve assinar é você","remetente":"Jessica Freitas"},{"texto":"Vou lhe enviar aqui ta ","remetente":"Jessica Freitas"},{"texto":"**8617**\n\nhttps://www.digitalsaude.com.br/web/ColetarAssinaturaWebRetificada?codigo=616YXR5YBU32SX7PDUXP\n\n\n","remetente":"Jessica Freitas"},{"texto":null,"remetente":"NADIA SALAH TRINIDAD BAJA filho"},{"texto":"perfeitooo","remetente":"Jessica Freitas"},{"texto":"já comuniquei ao setor.","remetente":"Jessica Freitas"},{"texto":"Conversa foi marcada como resolvida por Jessica Freitas"}]}</t>
  </si>
  <si>
    <t>NADIA SALAH TRINIDAD BAJA filho</t>
  </si>
  <si>
    <t>A saudação inicial da atendente poderia ser mais formal e completa, ao invés de apenas indicar como obteve o contato. No entanto, houve uma saudação formal posterior. A atendente demonstrou bom conhecimento do processo de assinatura de token e foi eficaz na resolução da demanda, fornecendo o código e o link corretamente. A linguagem utilizada foi cordial e humanizada, contribuindo para uma boa experiência do cliente.</t>
  </si>
  <si>
    <t>Reforçar a importância de uma saudação inicial completa e formal em todos os primeiros contatos, mesmo que o motivo já seja conhecido. Manter o padrão de clareza e conhecimento demonstrado no processo de encaminhamento de tokens.</t>
  </si>
  <si>
    <t>2026-08-14T00:00:00.000-03:00</t>
  </si>
  <si>
    <t>{"Contato":{"nome":"MARIA DAS GRACAS SOUZA SILVA","numero":"+5522999769642"},"conversa":[{"texto":"Prezado (a), boa tarde, me chamo Valdeilson, agente do setor de cobrança da sua administradora de benefício.\r\n\r\nNão identificamos o pagamento do seu plano de assistência médica e/ou odontológica, teria alguma previsão para o pagamento?\r\n\r\nCaso já tenha efetuado o pagamento, por gentileza nos encaminhar o comprovante para agilizar a baixa.\r\n\r\nSe for necessário a 2º via do boleto solicite por este canal.","remetente":"Valdeilson Neves"},{"texto":"Valdeilson Neves atribuiu a si mesmo essa conversa"}]}</t>
  </si>
  <si>
    <t>MARIA DAS GRACAS SOUZA SILVA</t>
  </si>
  <si>
    <t>O atendente Valdeilson realizou um contato para informar sobre um débito pendente, oferecendo de forma clara as próximas etapas para o cliente: informar previsão de pagamento, encaminhar comprovante de quitação ou solicitar a 2ª via do boleto. A mensagem foi objetiva e bem estruturada, facilitando o entendimento do cliente sobre as ações a serem tomadas. A saudação foi cordial e profissional, e o conhecimento sobre o processo de cobrança e as soluções para o cliente foi demonstrado.</t>
  </si>
  <si>
    <t>Nenhuma ação gerencial necessária. Acompanhar a efetividade da comunicação no processo de cobrança.</t>
  </si>
  <si>
    <t>2026-08-16T00:00:00.000-03:00</t>
  </si>
  <si>
    <t>{"Contato":{"nome":"Davi Trindade","numero":"+5551997839366"},"conversa":[{"texto":"Grupo Contém\n\n📨 relacionamentocomocliente@grupocontem.com.br\n\n📲 WhatsApp Oficial: (21) 4040-3737\n\nContém: Números: (21) 2277 - 8383 //  0800 718 8885 ","remetente":"Barbara Aparecyda"},{"texto":"Oi","remetente":"Davi Trindade"},{"texto":"Olha só","remetente":"Davi Trindade"},{"texto":"Eu tentei pagar o de JUNHO","remetente":"Davi Trindade"},{"texto":null,"remetente":"Davi Trindade"},{"texto":"conseguiu o de Agosto? ","remetente":"Barbara Aparecyda"},{"texto":"é por conta que o boleto está vencido irei atualizar ","remetente":"Barbara Aparecyda"},{"texto":"O de agosto eu quero pagar no crédito","remetente":"Davi Trindade"},{"texto":"Daí preciso do link","remetente":"Davi Trindade"},{"texto":"Ok","remetente":"Davi Trindade"},{"texto":"Me manda q já envio o comprovante","remetente":"Davi Trindade"},{"texto":"Daí pago o de junho e agosto e fica ok né?","remetente":"Davi Trindade"},{"texto":"deseja o link dos os dois valores juntos ou somente de agosto? ","remetente":"Barbara Aparecyda"},{"texto":"Junho Pix \nAgosto cartão","remetente":"Davi Trindade"},{"texto":"segue o PIX copia e cola Junho ","remetente":"Barbara Aparecyda"},{"texto":"00020101021226910014br.gov.bcb.pix2569qrcode.fitbank.com.br/QR/v2/cobv/709f9ad9-25d4-410c-ab31-eaf304007b055204000053039865802BR5925CONTEM ADMINISTRADORA DE 6014Rio de Janeiro62070503***6304E528","remetente":"Barbara Aparecyda"},{"texto":null,"remetente":"Davi Trindade"},{"texto":"https://cielolink.com.br/4619qTd","remetente":"Barbara Aparecyda"},{"texto":"link agosto","remetente":"Barbara Aparecyda"},{"texto":null,"remetente":"Davi Trindade"}]}</t>
  </si>
  <si>
    <t>Davi Trindade</t>
  </si>
  <si>
    <t>A saudação inicial foi inexistente e a comunicação da atendente foi muito mecânica, sem demonstrar empatia ou cordialidade. A atendente apenas respondeu diretamente à pergunta do cliente sem se apresentar ou cumprimentar. No entanto, a atendente demonstrou conhecimento e resolveu a solicitação do cliente de forma eficiente, fornecendo os links de pagamento corretos para os dois boletos de acordo com as preferências do cliente.</t>
  </si>
  <si>
    <t>Revisar e reforçar a importância da cordialidade e da apresentação em todas as interações. Sugerir treinamento em comunicação humanizada e scripts de saudação para os atendentes.</t>
  </si>
  <si>
    <t>2026-08-23T00:00:00.000-03:00</t>
  </si>
  <si>
    <t>{"Contato":{"nome":"DANIEL DA SILVA DOS SANTOS","numero":"+5521990630721"},"conversa":[{"texto":"Boa tarde me chamo Barbara, possui dois boletos em abertos, algum posicionamento ou previsão de pagamento?  ","remetente":"Barbara Aparecyda"},{"texto":"Barbara atribuiu a si mesmo essa conversa"}]}</t>
  </si>
  <si>
    <t>DANIEL DA SILVA DOS SANTOS</t>
  </si>
  <si>
    <t>A conversa é muito curta, apenas a saudação inicial e a pergunta da atendente. Não foi possível avaliar a clareza, conhecimento, resolução e empatia em um contexto de resposta ou solução, pois a atendente está na fase de coleta de informações.</t>
  </si>
  <si>
    <t>Monitorar próximas interações para avaliar a capacidade de resolução e conhecimento da atendente.</t>
  </si>
  <si>
    <t>2026-08-30T00:00:00.000-03:00</t>
  </si>
  <si>
    <t>{"Contato":{"nome":"EDINA DA SILVA FRANCISCO DE OLIVEIRA","numero":"+5521964653007"},"conversa":[{"texto":"Boa tarde estamos em campanha gostaria de verificar a possibilidade de um desconto ? ","remetente":"Barbara Aparecyda"},{"texto":"Barbara atribuiu a si mesmo essa conversa"}]}</t>
  </si>
  <si>
    <t>EDINA DA SILVA FRANCISCO DE OLIVEIRA</t>
  </si>
  <si>
    <t>A conversa não apresentou interação do atendente. O cliente realizou uma pergunta e não houve resposta, resultando em ausência de avaliação para todos os critérios de atendimento.</t>
  </si>
  <si>
    <t>Verificar o motivo da ausência de resposta do atendente para a solicitação do cliente e garantir que todos os contatos sejam devidamente atendidos.</t>
  </si>
  <si>
    <t>2026-09-04T00:00:00.000-03:00</t>
  </si>
  <si>
    <t>{"Contato":{"nome":"LUIZ EDUARDO COSME JACINTO LOUZADA","numero":"+5521964340341"},"conversa":[{"texto":"Olá, boa tarde, Sr.(a) **LUIZ EDUARDO COSME JACINTO LOUZADA**, tudo bem?\r\n\r\nMe chamo Valdeilson, sou agente do setor de cobrança da sua administradora de benefício, estou entrando em contato para negociação do saldo devedor referente ao plano de saúde Cemeru, atualmente cancelado.","remetente":"Valdeilson Neves"},{"texto":"Valdeilson Neves atribuiu a si mesmo essa conversa"},{"texto":"Caso tenha interesse em efertuar o pagamento do saldo devedor para análise de reativação, segue a chave pix referente as mensalidade de Julho e Agosto:","remetente":"Valdeilson Neves"},{"texto":"00020101021226910014br.gov.bcb.pix2569qrcode.fitbank.com.br/QR/v2/cobv/3d2f1e1a-837d-4fb6-b1cb-51bd2b53c7c05204000053039865802BR5925CONTEM ADMINISTRADORA DE 6014Rio de Janeiro62070503***6304681E","remetente":"Valdeilson Neves"},{"texto":"Após o pagamento, por gentileza nos encaminhe o comprovante  para solicitação da baixa.","remetente":"Valdeilson Neves"}]}</t>
  </si>
  <si>
    <t>LUIZ EDUARDO COSME JACINTO LOUZADA</t>
  </si>
  <si>
    <t>Parcialmente</t>
  </si>
  <si>
    <t>O atendente Valdeilson realizou uma saudação cordial e completa, apresentando-se e o motivo do contato. A comunicação foi extremamente clara, objetiva e de fácil entendimento, demonstrando total domínio sobre o assunto do plano de saúde cancelado e o processo de negociação para reativação. A resolução oferecida foi adequada, fornecendo a chave PIX e as instruções para o pagamento e posterior envio do comprovante. A empatia foi boa, com linguagem educada, porém com margem para maior humanização. A demanda foi encaminhada corretamente, mas a resolução final depende da ação do cliente.</t>
  </si>
  <si>
    <t>Monitorar interações futuras para identificar oportunidades de aprimoramento na linguagem humanizada, buscando tornar o atendimento ainda mais empático sem comprometer a objetividade.</t>
  </si>
  <si>
    <t>Média Saudação</t>
  </si>
  <si>
    <t>Média Clareza</t>
  </si>
  <si>
    <t>Média Conhecimento</t>
  </si>
  <si>
    <t>Média Resolução</t>
  </si>
  <si>
    <t>Média Empatia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</si>
</sst>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charset val="1"/>
    </font>
    <font>
      <sz val="11"/>
      <color rgb="FF000000"/>
      <name val="Calibri"/>
      <charset val="1"/>
    </font>
  </fonts>
  <fills count="2">
    <fill>
      <patternFill patternType="none"/>
    </fill>
    <fill>
      <patternFill patternType="gray125"/>
    </fill>
  </fills>
  <borders count="5">
    <border>
      <left/>
      <right/>
      <top/>
      <bottom/>
      <diagonal/>
    </border>
    <border>
      <left style="thin">
        <color rgb="FF000000"/>
      </left>
      <right style="thin">
        <color rgb="FFCCCCCC"/>
      </right>
      <top/>
      <bottom style="thin">
        <color rgb="FF000000"/>
      </bottom>
      <diagonal/>
    </border>
    <border>
      <left style="thin">
        <color rgb="FFCCCCCC"/>
      </left>
      <right style="thin">
        <color rgb="FFCCCCCC"/>
      </right>
      <top/>
      <bottom style="thin">
        <color rgb="FF000000"/>
      </bottom>
      <diagonal/>
    </border>
    <border>
      <left style="thin">
        <color rgb="FFCCCCCC"/>
      </left>
      <right style="thin">
        <color rgb="FF000000"/>
      </right>
      <top/>
      <bottom style="thin">
        <color rgb="FF000000"/>
      </bottom>
      <diagonal/>
    </border>
    <border>
      <left/>
      <right/>
      <top style="thin">
        <color theme="5"/>
      </top>
      <bottom/>
      <diagonal/>
    </border>
  </borders>
  <cellStyleXfs count="1">
    <xf numFmtId="0" fontId="0" fillId="0" borderId="0"/>
  </cellStyleXfs>
  <cellXfs count="7">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xf numFmtId="0" fontId="0" fillId="0" borderId="4" xfId="0" applyBorder="1"/>
    <xf numFmtId="0" fontId="2" fillId="0" borderId="0" xfId="0" applyFont="1"/>
    <xf numFmtId="2" fontId="0" fillId="0" borderId="0" xfId="0" applyNumberFormat="1"/>
  </cellXfs>
  <cellStyles count="1">
    <cellStyle name="Normal" xfId="0" builtinId="0"/>
  </cellStyles>
  <dxfs count="3">
    <dxf>
      <border outline="0">
        <bottom style="thin">
          <color rgb="FF000000"/>
        </bottom>
      </border>
    </dxf>
    <dxf>
      <border outline="0">
        <top style="thin">
          <color rgb="FF000000"/>
        </top>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outline="0">
        <left style="thin">
          <color rgb="FFCCCCCC"/>
        </left>
        <right style="thin">
          <color rgb="FFCCCCCC"/>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A1CCC8-0E2C-4450-B19E-F2A6666B961D}" name="Tabela1" displayName="Tabela1" ref="A1:R12" totalsRowShown="0" headerRowDxfId="2" headerRowBorderDxfId="0" tableBorderDxfId="1">
  <autoFilter ref="A1:R12" xr:uid="{E2A1CCC8-0E2C-4450-B19E-F2A6666B961D}"/>
  <tableColumns count="18">
    <tableColumn id="1" xr3:uid="{72320105-64D1-4AC7-9573-5220DE39D5FC}" name="Identificador Único"/>
    <tableColumn id="2" xr3:uid="{D3CF113F-9B36-43D1-AA75-563CF8093C65}" name="Data"/>
    <tableColumn id="3" xr3:uid="{3BCF632D-361D-41B4-A420-B8C6228B948E}" name="Conversação"/>
    <tableColumn id="4" xr3:uid="{1650837A-7C74-4A6D-B911-E1D6F5E47619}" name="Canal"/>
    <tableColumn id="5" xr3:uid="{52D3486B-6746-4F29-B3AA-A97B6F038A6C}" name="Contemplado"/>
    <tableColumn id="6" xr3:uid="{F7B9C950-BD01-4EA8-88D8-DBC543921707}" name="Beneficiário"/>
    <tableColumn id="7" xr3:uid="{14970845-F687-49FA-A7AE-B93F6E9594D5}" name="Número"/>
    <tableColumn id="9" xr3:uid="{50993FAA-ECCC-4CF5-B97D-015E5ED5806E}" name="Saudação(0-10)"/>
    <tableColumn id="10" xr3:uid="{1B46DBFB-C97A-4D2E-AE29-7239D833FE64}" name="Clareza (0-10)"/>
    <tableColumn id="11" xr3:uid="{D52427E6-6851-4EAA-B675-718A8CBD6B03}" name="Conhecimento (0-10)"/>
    <tableColumn id="12" xr3:uid="{237E9773-F399-4964-BFD0-3B8284AD644B}" name="Resolução (0-10)"/>
    <tableColumn id="13" xr3:uid="{1717A842-1907-44D9-B7A7-840C82578C81}" name="Empatia (0-10)"/>
    <tableColumn id="14" xr3:uid="{8E455332-86F4-4F7F-8901-92B2895418F9}" name="Score Qualidade"/>
    <tableColumn id="15" xr3:uid="{6D8D3810-9365-457F-8400-F582E0C20A9C}" name="Risco Processo"/>
    <tableColumn id="16" xr3:uid="{FA0954D7-D129-4875-8849-537C8C366C79}" name="Resolvido?"/>
    <tableColumn id="17" xr3:uid="{CFF92B1F-AA9A-48DD-9454-533FC9A61FB5}" name="Reincidência?"/>
    <tableColumn id="18" xr3:uid="{BA02F1BF-1007-47CB-A03F-5EB8B3A62021}" name="Observações"/>
    <tableColumn id="19" xr3:uid="{AC0A9FD6-7F5B-4921-A355-606A5CA4F629}" name="Ação Gerencial"/>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
  <sheetViews>
    <sheetView topLeftCell="C1" workbookViewId="0">
      <selection activeCell="E7" sqref="E7"/>
    </sheetView>
  </sheetViews>
  <sheetFormatPr defaultRowHeight="15"/>
  <cols>
    <col min="1" max="1" width="20.5703125" bestFit="1" customWidth="1"/>
    <col min="2" max="2" width="30" bestFit="1" customWidth="1"/>
    <col min="3" max="3" width="255.7109375" bestFit="1" customWidth="1"/>
    <col min="4" max="4" width="9.7109375" bestFit="1" customWidth="1"/>
    <col min="5" max="5" width="18" bestFit="1" customWidth="1"/>
    <col min="6" max="6" width="45.42578125" bestFit="1" customWidth="1"/>
    <col min="7" max="7" width="12.42578125" bestFit="1" customWidth="1"/>
    <col min="8" max="8" width="17.28515625" bestFit="1" customWidth="1"/>
    <col min="9" max="9" width="15.7109375" bestFit="1" customWidth="1"/>
    <col min="10" max="10" width="22.140625" bestFit="1" customWidth="1"/>
    <col min="11" max="11" width="18.42578125" bestFit="1" customWidth="1"/>
    <col min="12" max="12" width="16.28515625" bestFit="1" customWidth="1"/>
    <col min="13" max="13" width="18.28515625" bestFit="1" customWidth="1"/>
    <col min="14" max="14" width="21.7109375" bestFit="1" customWidth="1"/>
    <col min="15" max="15" width="13.42578125" bestFit="1" customWidth="1"/>
    <col min="16" max="16" width="16.140625" bestFit="1" customWidth="1"/>
    <col min="17" max="18" width="255.7109375" bestFit="1" customWidth="1"/>
  </cols>
  <sheetData>
    <row r="1" spans="1:1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row>
    <row r="2" spans="1:18">
      <c r="A2">
        <v>5576</v>
      </c>
      <c r="B2" t="s">
        <v>18</v>
      </c>
      <c r="C2" t="s">
        <v>19</v>
      </c>
      <c r="D2" t="s">
        <v>20</v>
      </c>
      <c r="E2" t="s">
        <v>21</v>
      </c>
      <c r="F2" t="s">
        <v>22</v>
      </c>
      <c r="G2">
        <v>5521979200697</v>
      </c>
      <c r="H2">
        <v>9</v>
      </c>
      <c r="I2">
        <v>9</v>
      </c>
      <c r="J2">
        <v>10</v>
      </c>
      <c r="K2">
        <v>10</v>
      </c>
      <c r="L2">
        <v>8</v>
      </c>
      <c r="M2">
        <v>9.1999999999999993</v>
      </c>
      <c r="N2" t="s">
        <v>23</v>
      </c>
      <c r="O2" t="s">
        <v>24</v>
      </c>
      <c r="P2" t="s">
        <v>25</v>
      </c>
      <c r="Q2" t="s">
        <v>26</v>
      </c>
      <c r="R2" t="s">
        <v>27</v>
      </c>
    </row>
    <row r="3" spans="1:18">
      <c r="A3">
        <v>5064</v>
      </c>
      <c r="B3" t="s">
        <v>28</v>
      </c>
      <c r="C3" t="s">
        <v>29</v>
      </c>
      <c r="D3" t="s">
        <v>20</v>
      </c>
      <c r="E3" t="s">
        <v>30</v>
      </c>
      <c r="F3" t="s">
        <v>31</v>
      </c>
      <c r="G3">
        <v>555183000907</v>
      </c>
      <c r="H3">
        <v>9</v>
      </c>
      <c r="I3">
        <v>9</v>
      </c>
      <c r="J3">
        <v>10</v>
      </c>
      <c r="K3">
        <v>8</v>
      </c>
      <c r="L3">
        <v>9</v>
      </c>
      <c r="M3">
        <v>9</v>
      </c>
      <c r="N3" t="s">
        <v>23</v>
      </c>
      <c r="O3" t="s">
        <v>32</v>
      </c>
      <c r="P3" t="s">
        <v>25</v>
      </c>
      <c r="Q3" t="s">
        <v>33</v>
      </c>
      <c r="R3" t="s">
        <v>34</v>
      </c>
    </row>
    <row r="4" spans="1:18">
      <c r="A4">
        <v>4137</v>
      </c>
      <c r="B4" t="s">
        <v>28</v>
      </c>
      <c r="C4" t="s">
        <v>35</v>
      </c>
      <c r="D4" t="s">
        <v>20</v>
      </c>
      <c r="E4" t="s">
        <v>36</v>
      </c>
      <c r="F4" t="s">
        <v>37</v>
      </c>
      <c r="G4">
        <v>5521972811765</v>
      </c>
      <c r="H4">
        <v>3</v>
      </c>
      <c r="I4">
        <v>0</v>
      </c>
      <c r="J4">
        <v>0</v>
      </c>
      <c r="K4">
        <v>0</v>
      </c>
      <c r="L4">
        <v>1</v>
      </c>
      <c r="M4">
        <v>0.8</v>
      </c>
      <c r="N4" t="s">
        <v>38</v>
      </c>
      <c r="O4" t="s">
        <v>32</v>
      </c>
      <c r="P4" t="s">
        <v>25</v>
      </c>
      <c r="Q4" t="s">
        <v>39</v>
      </c>
      <c r="R4" t="s">
        <v>40</v>
      </c>
    </row>
    <row r="5" spans="1:18">
      <c r="A5">
        <v>5609</v>
      </c>
      <c r="B5" t="s">
        <v>41</v>
      </c>
      <c r="C5" t="s">
        <v>42</v>
      </c>
      <c r="D5" t="s">
        <v>20</v>
      </c>
      <c r="E5" t="s">
        <v>21</v>
      </c>
      <c r="F5" t="s">
        <v>43</v>
      </c>
      <c r="G5">
        <v>555186175915</v>
      </c>
      <c r="H5">
        <v>10</v>
      </c>
      <c r="I5">
        <v>1</v>
      </c>
      <c r="J5">
        <v>1</v>
      </c>
      <c r="K5">
        <v>0</v>
      </c>
      <c r="L5">
        <v>1</v>
      </c>
      <c r="M5">
        <v>2.6</v>
      </c>
      <c r="N5" t="s">
        <v>38</v>
      </c>
      <c r="O5" t="s">
        <v>32</v>
      </c>
      <c r="P5" t="s">
        <v>25</v>
      </c>
      <c r="Q5" t="s">
        <v>44</v>
      </c>
      <c r="R5" t="s">
        <v>45</v>
      </c>
    </row>
    <row r="6" spans="1:18">
      <c r="A6">
        <v>2049</v>
      </c>
      <c r="B6" t="s">
        <v>46</v>
      </c>
      <c r="C6" t="s">
        <v>47</v>
      </c>
      <c r="D6" t="s">
        <v>20</v>
      </c>
      <c r="E6" t="s">
        <v>21</v>
      </c>
      <c r="F6" t="s">
        <v>48</v>
      </c>
      <c r="G6">
        <v>5522996151639</v>
      </c>
      <c r="H6">
        <v>10</v>
      </c>
      <c r="I6">
        <v>10</v>
      </c>
      <c r="J6">
        <v>10</v>
      </c>
      <c r="K6">
        <v>0</v>
      </c>
      <c r="L6">
        <v>9</v>
      </c>
      <c r="M6">
        <v>7.8</v>
      </c>
      <c r="N6" t="s">
        <v>38</v>
      </c>
      <c r="O6" t="s">
        <v>32</v>
      </c>
      <c r="P6" t="s">
        <v>25</v>
      </c>
      <c r="Q6" t="s">
        <v>49</v>
      </c>
      <c r="R6" t="s">
        <v>50</v>
      </c>
    </row>
    <row r="7" spans="1:18">
      <c r="A7">
        <v>5504</v>
      </c>
      <c r="B7" t="s">
        <v>46</v>
      </c>
      <c r="C7" t="s">
        <v>51</v>
      </c>
      <c r="D7" t="s">
        <v>20</v>
      </c>
      <c r="E7" t="s">
        <v>36</v>
      </c>
      <c r="F7" t="s">
        <v>52</v>
      </c>
      <c r="G7">
        <v>555196215410</v>
      </c>
      <c r="H7">
        <v>7</v>
      </c>
      <c r="I7">
        <v>9</v>
      </c>
      <c r="J7">
        <v>10</v>
      </c>
      <c r="K7">
        <v>10</v>
      </c>
      <c r="L7">
        <v>9</v>
      </c>
      <c r="M7">
        <v>9</v>
      </c>
      <c r="N7" t="s">
        <v>23</v>
      </c>
      <c r="O7" t="s">
        <v>24</v>
      </c>
      <c r="P7" t="s">
        <v>25</v>
      </c>
      <c r="Q7" t="s">
        <v>53</v>
      </c>
      <c r="R7" t="s">
        <v>54</v>
      </c>
    </row>
    <row r="8" spans="1:18">
      <c r="A8">
        <v>5969</v>
      </c>
      <c r="B8" t="s">
        <v>55</v>
      </c>
      <c r="C8" t="s">
        <v>56</v>
      </c>
      <c r="D8" t="s">
        <v>20</v>
      </c>
      <c r="E8" t="s">
        <v>30</v>
      </c>
      <c r="F8" t="s">
        <v>57</v>
      </c>
      <c r="G8">
        <v>5522999769642</v>
      </c>
      <c r="H8">
        <v>9</v>
      </c>
      <c r="I8">
        <v>9</v>
      </c>
      <c r="J8">
        <v>9</v>
      </c>
      <c r="K8">
        <v>9</v>
      </c>
      <c r="L8">
        <v>8</v>
      </c>
      <c r="M8">
        <v>8.8000000000000007</v>
      </c>
      <c r="N8" t="s">
        <v>23</v>
      </c>
      <c r="O8" t="s">
        <v>32</v>
      </c>
      <c r="P8" t="s">
        <v>25</v>
      </c>
      <c r="Q8" t="s">
        <v>58</v>
      </c>
      <c r="R8" t="s">
        <v>59</v>
      </c>
    </row>
    <row r="9" spans="1:18">
      <c r="A9">
        <v>2402</v>
      </c>
      <c r="B9" t="s">
        <v>60</v>
      </c>
      <c r="C9" t="s">
        <v>61</v>
      </c>
      <c r="D9" t="s">
        <v>20</v>
      </c>
      <c r="E9" t="s">
        <v>21</v>
      </c>
      <c r="F9" t="s">
        <v>62</v>
      </c>
      <c r="G9">
        <v>5551997839366</v>
      </c>
      <c r="H9">
        <v>1</v>
      </c>
      <c r="I9">
        <v>8</v>
      </c>
      <c r="J9">
        <v>10</v>
      </c>
      <c r="K9">
        <v>10</v>
      </c>
      <c r="L9">
        <v>3</v>
      </c>
      <c r="M9">
        <v>6.4</v>
      </c>
      <c r="N9" t="s">
        <v>23</v>
      </c>
      <c r="O9" t="s">
        <v>24</v>
      </c>
      <c r="P9" t="s">
        <v>25</v>
      </c>
      <c r="Q9" t="s">
        <v>63</v>
      </c>
      <c r="R9" t="s">
        <v>64</v>
      </c>
    </row>
    <row r="10" spans="1:18">
      <c r="A10">
        <v>6565</v>
      </c>
      <c r="B10" t="s">
        <v>65</v>
      </c>
      <c r="C10" t="s">
        <v>66</v>
      </c>
      <c r="D10" t="s">
        <v>20</v>
      </c>
      <c r="E10" t="s">
        <v>21</v>
      </c>
      <c r="F10" t="s">
        <v>67</v>
      </c>
      <c r="G10">
        <v>5521990630721</v>
      </c>
      <c r="H10">
        <v>9</v>
      </c>
      <c r="I10">
        <v>8</v>
      </c>
      <c r="J10">
        <v>4</v>
      </c>
      <c r="K10">
        <v>0</v>
      </c>
      <c r="L10">
        <v>8</v>
      </c>
      <c r="M10">
        <v>5.8</v>
      </c>
      <c r="N10" t="s">
        <v>23</v>
      </c>
      <c r="O10" t="s">
        <v>32</v>
      </c>
      <c r="P10" t="s">
        <v>25</v>
      </c>
      <c r="Q10" t="s">
        <v>68</v>
      </c>
      <c r="R10" t="s">
        <v>69</v>
      </c>
    </row>
    <row r="11" spans="1:18">
      <c r="A11">
        <v>6918</v>
      </c>
      <c r="B11" t="s">
        <v>70</v>
      </c>
      <c r="C11" t="s">
        <v>71</v>
      </c>
      <c r="D11" t="s">
        <v>20</v>
      </c>
      <c r="E11" t="s">
        <v>21</v>
      </c>
      <c r="F11" t="s">
        <v>72</v>
      </c>
      <c r="G11">
        <v>5521964653007</v>
      </c>
      <c r="H11">
        <v>0</v>
      </c>
      <c r="I11">
        <v>0</v>
      </c>
      <c r="J11">
        <v>0</v>
      </c>
      <c r="K11">
        <v>0</v>
      </c>
      <c r="L11">
        <v>0</v>
      </c>
      <c r="M11">
        <v>0</v>
      </c>
      <c r="N11" t="s">
        <v>23</v>
      </c>
      <c r="O11" t="s">
        <v>32</v>
      </c>
      <c r="P11" t="s">
        <v>25</v>
      </c>
      <c r="Q11" t="s">
        <v>73</v>
      </c>
      <c r="R11" t="s">
        <v>74</v>
      </c>
    </row>
    <row r="12" spans="1:18">
      <c r="A12">
        <v>7001</v>
      </c>
      <c r="B12" t="s">
        <v>75</v>
      </c>
      <c r="C12" t="s">
        <v>76</v>
      </c>
      <c r="D12" t="s">
        <v>20</v>
      </c>
      <c r="E12" t="s">
        <v>30</v>
      </c>
      <c r="F12" t="s">
        <v>77</v>
      </c>
      <c r="G12">
        <v>5521964340341</v>
      </c>
      <c r="H12">
        <v>9</v>
      </c>
      <c r="I12">
        <v>10</v>
      </c>
      <c r="J12">
        <v>10</v>
      </c>
      <c r="K12">
        <v>9</v>
      </c>
      <c r="L12">
        <v>8</v>
      </c>
      <c r="M12">
        <v>9.1999999999999993</v>
      </c>
      <c r="N12" t="s">
        <v>23</v>
      </c>
      <c r="O12" t="s">
        <v>78</v>
      </c>
      <c r="P12" t="s">
        <v>25</v>
      </c>
      <c r="Q12" t="s">
        <v>79</v>
      </c>
      <c r="R12" t="s">
        <v>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6F8B-B8A2-48B1-BFA8-4C17B89B18A4}">
  <dimension ref="A1:F4"/>
  <sheetViews>
    <sheetView tabSelected="1" workbookViewId="0">
      <selection activeCell="D3" sqref="D3"/>
    </sheetView>
  </sheetViews>
  <sheetFormatPr defaultRowHeight="15"/>
  <cols>
    <col min="1" max="1" width="18" bestFit="1" customWidth="1"/>
    <col min="2" max="2" width="15.7109375" style="6" bestFit="1" customWidth="1"/>
    <col min="3" max="3" width="13.42578125" style="6" bestFit="1" customWidth="1"/>
    <col min="4" max="4" width="20.140625" style="6" bestFit="1" customWidth="1"/>
    <col min="5" max="5" width="16.140625" style="6" bestFit="1" customWidth="1"/>
    <col min="6" max="6" width="14.42578125" style="6" bestFit="1" customWidth="1"/>
  </cols>
  <sheetData>
    <row r="1" spans="1:6">
      <c r="A1" t="s">
        <v>4</v>
      </c>
      <c r="B1" s="6" t="s">
        <v>81</v>
      </c>
      <c r="C1" s="6" t="s">
        <v>82</v>
      </c>
      <c r="D1" s="6" t="s">
        <v>83</v>
      </c>
      <c r="E1" s="6" t="s">
        <v>84</v>
      </c>
      <c r="F1" s="6" t="s">
        <v>85</v>
      </c>
    </row>
    <row r="2" spans="1:6">
      <c r="A2" t="s">
        <v>21</v>
      </c>
      <c r="B2" s="6">
        <f>AVERAGEIF(Planilha1!E:E,"Barbara Aparecyda",Planilha1!H:H)</f>
        <v>6.5</v>
      </c>
      <c r="C2" s="6">
        <f>AVERAGEIF(Planilha1!E:E,"Barbara Aparecyda",Planilha1!I:I)</f>
        <v>6</v>
      </c>
      <c r="D2" s="6">
        <f>AVERAGEIF(Planilha1!E:E,"Barbara Aparecyda",Planilha1!J:J)</f>
        <v>5.833333333333333</v>
      </c>
      <c r="E2" s="6">
        <f>AVERAGEIF(Planilha1!E:E,"Barbara Aparecyda",Planilha1!K:K)</f>
        <v>3.3333333333333335</v>
      </c>
      <c r="F2" s="6">
        <f>AVERAGEIF(Planilha1!E:E,"Barbara Aparecyda",Planilha1!L:L)</f>
        <v>4.833333333333333</v>
      </c>
    </row>
    <row r="3" spans="1:6">
      <c r="A3" s="4" t="s">
        <v>30</v>
      </c>
      <c r="B3" s="6">
        <f>AVERAGEIF(Planilha1!E:E,"Valdeilson Neves",Planilha1!H:H)</f>
        <v>9</v>
      </c>
      <c r="C3" s="6">
        <f>AVERAGEIF(Planilha1!E:E,"Valdeilson Neves",Planilha1!I:I)</f>
        <v>9.3333333333333339</v>
      </c>
      <c r="D3" s="6">
        <f>AVERAGEIF(Planilha1!E:E,"Valdeilson Neves",Planilha1!J:J)</f>
        <v>9.6666666666666661</v>
      </c>
      <c r="E3" s="6">
        <f>AVERAGEIF(Planilha1!E:E,"Valdeilson Neves",Planilha1!K:K)</f>
        <v>8.6666666666666661</v>
      </c>
      <c r="F3" s="6">
        <f>AVERAGEIF(Planilha1!E:E,"Valdeilson Neves",Planilha1!L:L)</f>
        <v>8.3333333333333339</v>
      </c>
    </row>
    <row r="4" spans="1:6">
      <c r="A4" s="5" t="s">
        <v>36</v>
      </c>
      <c r="B4" s="6">
        <f>AVERAGEIF(Planilha1!E:E,"Jessica Freitas",Planilha1!H:H)</f>
        <v>5</v>
      </c>
      <c r="C4" s="6">
        <f>AVERAGEIF(Planilha1!E:E,"Jessica Freitas",Planilha1!I:I)</f>
        <v>4.5</v>
      </c>
      <c r="D4" s="6">
        <f>AVERAGEIF(Planilha1!E:E,"Jessica Freitas",Planilha1!J:J)</f>
        <v>5</v>
      </c>
      <c r="E4" s="6">
        <f>AVERAGEIF(Planilha1!E:E,"Jessica Freitas",Planilha1!K:K)</f>
        <v>5</v>
      </c>
      <c r="F4" s="6">
        <f>AVERAGEIF(Planilha1!E:E,"Jessica Freitas",Planilha1!L:L)</f>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Bruno Dias</cp:lastModifiedBy>
  <cp:revision/>
  <dcterms:created xsi:type="dcterms:W3CDTF">2026-07-15T02:21:40Z</dcterms:created>
  <dcterms:modified xsi:type="dcterms:W3CDTF">2026-09-18T16:43:39Z</dcterms:modified>
  <cp:category/>
  <cp:contentStatus/>
</cp:coreProperties>
</file>